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2361298F-933B-4FB7-A32A-26B8B123E19C}" xr6:coauthVersionLast="47" xr6:coauthVersionMax="47" xr10:uidLastSave="{00000000-0000-0000-0000-000000000000}"/>
  <bookViews>
    <workbookView xWindow="240" yWindow="105" windowWidth="14805" windowHeight="8010" firstSheet="3" activeTab="5" xr2:uid="{00000000-000D-0000-FFFF-FFFF00000000}"/>
  </bookViews>
  <sheets>
    <sheet name="Attacking" sheetId="1" r:id="rId1"/>
    <sheet name="Efficiency stats" sheetId="2" r:id="rId2"/>
    <sheet name="Defending" sheetId="3" r:id="rId3"/>
    <sheet name="General Play" sheetId="4" r:id="rId4"/>
    <sheet name="Tactical Stats" sheetId="6" r:id="rId5"/>
    <sheet name="preview 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D9" i="1"/>
  <c r="I9" i="4"/>
  <c r="H9" i="4"/>
  <c r="G9" i="4"/>
  <c r="F9" i="4"/>
  <c r="S9" i="4"/>
  <c r="R9" i="4"/>
  <c r="Q9" i="4"/>
  <c r="P9" i="4"/>
  <c r="O9" i="4"/>
  <c r="N9" i="4"/>
  <c r="M9" i="4"/>
  <c r="L9" i="4"/>
  <c r="E9" i="4"/>
  <c r="D9" i="4"/>
  <c r="M9" i="3"/>
  <c r="L9" i="3"/>
  <c r="K9" i="3"/>
  <c r="J9" i="3"/>
  <c r="O9" i="3"/>
  <c r="N9" i="3"/>
  <c r="I9" i="3"/>
  <c r="H9" i="3"/>
  <c r="G9" i="3"/>
  <c r="F9" i="3"/>
  <c r="E9" i="3"/>
  <c r="D9" i="3"/>
  <c r="C9" i="3"/>
  <c r="B9" i="3"/>
  <c r="AE9" i="1"/>
  <c r="AD9" i="1"/>
  <c r="B9" i="1"/>
  <c r="C9" i="1"/>
  <c r="F9" i="1"/>
  <c r="B2" i="2" s="1" a="1"/>
  <c r="B2" i="2" s="1"/>
  <c r="G9" i="1"/>
  <c r="H9" i="1"/>
  <c r="I9" i="1"/>
  <c r="J9" i="1"/>
  <c r="K9" i="1"/>
  <c r="L9" i="1"/>
  <c r="D2" i="2" s="1" a="1"/>
  <c r="D2" i="2" s="1"/>
  <c r="M9" i="1"/>
  <c r="E2" i="2" s="1" a="1"/>
  <c r="E2" i="2" s="1"/>
  <c r="N9" i="1"/>
  <c r="F2" i="2" s="1" a="1"/>
  <c r="F2" i="2" s="1"/>
  <c r="O9" i="1"/>
  <c r="G2" i="2" s="1" a="1"/>
  <c r="G2" i="2" s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H2" i="2" l="1" a="1"/>
  <c r="H2" i="2" s="1"/>
  <c r="I2" i="2" a="1"/>
  <c r="I2" i="2" s="1"/>
  <c r="J2" i="2" a="1"/>
  <c r="J2" i="2" s="1"/>
  <c r="K2" i="2" a="1"/>
  <c r="K2" i="2" s="1"/>
  <c r="L2" i="2" a="1"/>
  <c r="L2" i="2" s="1"/>
  <c r="C2" i="2" a="1"/>
  <c r="C2" i="2" s="1"/>
  <c r="M2" i="2" a="1"/>
  <c r="M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<sst xmlns="http://schemas.openxmlformats.org/spreadsheetml/2006/main" count="184" uniqueCount="131">
  <si>
    <t>Team</t>
  </si>
  <si>
    <t xml:space="preserve">shots </t>
  </si>
  <si>
    <t>shots/A</t>
  </si>
  <si>
    <t xml:space="preserve">Open play Shots </t>
  </si>
  <si>
    <t>Open play Shots/A</t>
  </si>
  <si>
    <t>shots on goal</t>
  </si>
  <si>
    <t>shots on goal/A</t>
  </si>
  <si>
    <t>shots in box</t>
  </si>
  <si>
    <t>shots in box/A</t>
  </si>
  <si>
    <t>XG</t>
  </si>
  <si>
    <t>XG/A</t>
  </si>
  <si>
    <t xml:space="preserve">goals </t>
  </si>
  <si>
    <t>Goals/A</t>
  </si>
  <si>
    <t>open play Goals</t>
  </si>
  <si>
    <t>open play goals/A</t>
  </si>
  <si>
    <t>corners</t>
  </si>
  <si>
    <t xml:space="preserve">Corners converted </t>
  </si>
  <si>
    <t>cornors/A</t>
  </si>
  <si>
    <t>Corner converted/A</t>
  </si>
  <si>
    <t>Free kicks</t>
  </si>
  <si>
    <t>Freekicks/A</t>
  </si>
  <si>
    <t xml:space="preserve">Big Chances </t>
  </si>
  <si>
    <t>big chances converted</t>
  </si>
  <si>
    <t>big chances/A</t>
  </si>
  <si>
    <t>big chances converted/A</t>
  </si>
  <si>
    <t>crosses</t>
  </si>
  <si>
    <t>crosses converted</t>
  </si>
  <si>
    <t>crosses/A</t>
  </si>
  <si>
    <t>crosses converted/A</t>
  </si>
  <si>
    <t xml:space="preserve">Touches in Opponent's Box </t>
  </si>
  <si>
    <t>Touches in Opponent's Box/A</t>
  </si>
  <si>
    <t>Everton</t>
  </si>
  <si>
    <t xml:space="preserve">Man City </t>
  </si>
  <si>
    <t>Fulham</t>
  </si>
  <si>
    <t>Middlesbrough</t>
  </si>
  <si>
    <t>Ipswich</t>
  </si>
  <si>
    <t>Lech Poznan</t>
  </si>
  <si>
    <t>Leeds</t>
  </si>
  <si>
    <t>Totals</t>
  </si>
  <si>
    <t>Shots on target %</t>
  </si>
  <si>
    <t>Shots on target/A %</t>
  </si>
  <si>
    <t>Goal % Based of Shots</t>
  </si>
  <si>
    <t>Opponet Goal % Based of shots/A</t>
  </si>
  <si>
    <t>Open Play Goal %</t>
  </si>
  <si>
    <t>Open play Goal/A %</t>
  </si>
  <si>
    <t>Corners Converted %</t>
  </si>
  <si>
    <t>Corners Converted/A %</t>
  </si>
  <si>
    <t>Big Chances Converted %</t>
  </si>
  <si>
    <t>Crosses Converted %</t>
  </si>
  <si>
    <t>Corsses Converted/A %</t>
  </si>
  <si>
    <t>Save %</t>
  </si>
  <si>
    <t>Fouls</t>
  </si>
  <si>
    <t>Fouls/A</t>
  </si>
  <si>
    <t xml:space="preserve">Tackles </t>
  </si>
  <si>
    <t>Tackles/A</t>
  </si>
  <si>
    <t>Interceptions won</t>
  </si>
  <si>
    <t>Interceptions won/A</t>
  </si>
  <si>
    <t>Dispossessd</t>
  </si>
  <si>
    <t>Dispossessd/A</t>
  </si>
  <si>
    <t>Errors Leading to Shot</t>
  </si>
  <si>
    <t>Errors Leading to Shot/A</t>
  </si>
  <si>
    <t>Errors Leading to Goal</t>
  </si>
  <si>
    <t>Errors Leading to Goal/A</t>
  </si>
  <si>
    <t>Saves</t>
  </si>
  <si>
    <t>Saves/A</t>
  </si>
  <si>
    <t xml:space="preserve">Possession </t>
  </si>
  <si>
    <t>Possession/A</t>
  </si>
  <si>
    <t>Passes</t>
  </si>
  <si>
    <t>Passes/A</t>
  </si>
  <si>
    <t>Short passes</t>
  </si>
  <si>
    <t>Short passes/A</t>
  </si>
  <si>
    <t>Long balls</t>
  </si>
  <si>
    <t>Long balls/A</t>
  </si>
  <si>
    <t>Average pass streak</t>
  </si>
  <si>
    <t>Average pass streak/A</t>
  </si>
  <si>
    <t>Thrown in's</t>
  </si>
  <si>
    <t>Throw in's/A</t>
  </si>
  <si>
    <t>Goal kicks</t>
  </si>
  <si>
    <t>Goal kicks/A</t>
  </si>
  <si>
    <t xml:space="preserve">Yellow cards </t>
  </si>
  <si>
    <t>Yellow cards/A</t>
  </si>
  <si>
    <t>Red cards</t>
  </si>
  <si>
    <t>Red cards/A</t>
  </si>
  <si>
    <t>58%</t>
  </si>
  <si>
    <t>42%</t>
  </si>
  <si>
    <t>28%</t>
  </si>
  <si>
    <t>72%</t>
  </si>
  <si>
    <t>36%</t>
  </si>
  <si>
    <t>64%</t>
  </si>
  <si>
    <t>41%</t>
  </si>
  <si>
    <t>59%</t>
  </si>
  <si>
    <t>47%</t>
  </si>
  <si>
    <t>53%</t>
  </si>
  <si>
    <t>55%</t>
  </si>
  <si>
    <t>45%</t>
  </si>
  <si>
    <t>49%</t>
  </si>
  <si>
    <t>51%</t>
  </si>
  <si>
    <t xml:space="preserve">% of attacks from the right </t>
  </si>
  <si>
    <t>% of attacks from the middle</t>
  </si>
  <si>
    <t>% of attacks from the left</t>
  </si>
  <si>
    <t>% of attacks from the right/A</t>
  </si>
  <si>
    <t>% of attacks from the middle/A</t>
  </si>
  <si>
    <t>% of attacks from the left/A</t>
  </si>
  <si>
    <t xml:space="preserve">% of shots from the right </t>
  </si>
  <si>
    <t xml:space="preserve">% of shots from the middle </t>
  </si>
  <si>
    <t>% of shots from the left</t>
  </si>
  <si>
    <t>% of shots from the right/A</t>
  </si>
  <si>
    <t>% of shots from the middle/A</t>
  </si>
  <si>
    <t>% of shots from the left/A</t>
  </si>
  <si>
    <t xml:space="preserve">Team </t>
  </si>
  <si>
    <t>Formation</t>
  </si>
  <si>
    <t>Formation/A</t>
  </si>
  <si>
    <t xml:space="preserve">What Went right </t>
  </si>
  <si>
    <t xml:space="preserve">What went wrong </t>
  </si>
  <si>
    <t>3-4-2-1</t>
  </si>
  <si>
    <t>4-2-3-1</t>
  </si>
  <si>
    <t>More quality shots than the opponent with our 1.96 xG compared to Everton's 1.12 xG,  Dominated possession with 58.1%</t>
  </si>
  <si>
    <t>Poor Finishing, individual errors leading to a shot and one leading to a goal</t>
  </si>
  <si>
    <t xml:space="preserve">Class free kick from pino </t>
  </si>
  <si>
    <t xml:space="preserve">Got dominated in possession, poor finishing with only 10% of shots on target,  </t>
  </si>
  <si>
    <t xml:space="preserve">Good finishing, Goalkeeping, Got the win, </t>
  </si>
  <si>
    <t xml:space="preserve">Got dominated in possession, Error leading to goal, Let up a ton of shots within the box,  </t>
  </si>
  <si>
    <t>5-4-1</t>
  </si>
  <si>
    <t xml:space="preserve">Good finishing from crosses, individual brilliance, Clean sheet, </t>
  </si>
  <si>
    <t xml:space="preserve">Was not convincing enough against a championship side </t>
  </si>
  <si>
    <t>Scored a man down, defended and attacked well for being a man down,</t>
  </si>
  <si>
    <t>Red card, poor defending crosses</t>
  </si>
  <si>
    <t>Controlled possession, not allowing them to get in our box, finishing, clean sheet</t>
  </si>
  <si>
    <t>Individual errors leading to chances,</t>
  </si>
  <si>
    <t xml:space="preserve">Clean Sheet, Created Chances, Held up vs a side in good form </t>
  </si>
  <si>
    <t>Not finishing chances, need to be better defending set pieces, allowed a lot of shots from inside our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</si>
</sst>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B6F88-B3BF-45D6-AA41-65E9EE617409}" name="Table1" displayName="Table1" ref="A1:AE9" totalsRowCount="1">
  <autoFilter ref="A1:AE8" xr:uid="{BB6B6F88-B3BF-45D6-AA41-65E9EE617409}"/>
  <tableColumns count="31">
    <tableColumn id="1" xr3:uid="{FDF36390-DD35-4B4C-858D-FF1C3ABD5FED}" name="Team" totalsRowLabel="Totals"/>
    <tableColumn id="2" xr3:uid="{68AABD4E-1102-4134-AF26-AEBC75F15F38}" name="shots " totalsRowFunction="custom">
      <totalsRowFormula>SUM(Table1[[shots ]])</totalsRowFormula>
    </tableColumn>
    <tableColumn id="3" xr3:uid="{DD034649-2CA3-46D1-BF5A-F874FB6DAE6F}" name="shots/A" totalsRowFunction="custom">
      <totalsRowFormula>SUM(Table1[shots/A])</totalsRowFormula>
    </tableColumn>
    <tableColumn id="28" xr3:uid="{4C9ECB47-9A79-4D7A-9286-A91D4E3E3140}" name="Open play Shots " totalsRowFunction="custom">
      <totalsRowFormula>SUM(Table1[[Open play Shots ]])</totalsRowFormula>
    </tableColumn>
    <tableColumn id="31" xr3:uid="{7BB209B8-BA7A-4E1F-80D3-B70D59E40DB4}" name="Open play Shots/A" totalsRowFunction="custom">
      <totalsRowFormula>SUM(Table1[Open play Shots/A])</totalsRowFormula>
    </tableColumn>
    <tableColumn id="4" xr3:uid="{5C651F94-60F0-46E3-A5AA-BBC1A7CECEC1}" name="shots on goal" totalsRowFunction="custom">
      <totalsRowFormula>SUM(Table1[shots on goal])</totalsRowFormula>
    </tableColumn>
    <tableColumn id="5" xr3:uid="{EED04257-E0A6-479B-8ADB-FB8485BA02EC}" name="shots on goal/A" totalsRowFunction="custom">
      <totalsRowFormula>SUM(Table1[shots on goal/A])</totalsRowFormula>
    </tableColumn>
    <tableColumn id="6" xr3:uid="{A25BFCA2-76D3-4544-96EB-A42A60D62747}" name="shots in box" totalsRowFunction="custom">
      <totalsRowFormula>SUM(Table1[shots in box])</totalsRowFormula>
    </tableColumn>
    <tableColumn id="7" xr3:uid="{1248492D-D4E3-4BBA-85B2-9E4DA1484B5B}" name="shots in box/A" totalsRowFunction="custom">
      <totalsRowFormula>SUM(Table1[shots in box/A])</totalsRowFormula>
    </tableColumn>
    <tableColumn id="8" xr3:uid="{5CEF6E0C-8574-42B2-9DE0-B9B093342FF5}" name="XG" totalsRowFunction="custom">
      <totalsRowFormula>SUM(Table1[XG])</totalsRowFormula>
    </tableColumn>
    <tableColumn id="9" xr3:uid="{AA850B91-7E80-4C92-A8F6-036C393481CF}" name="XG/A" totalsRowFunction="custom">
      <totalsRowFormula>SUM(Table1[XG/A])</totalsRowFormula>
    </tableColumn>
    <tableColumn id="10" xr3:uid="{9E50B565-289C-42FE-AD13-3A858085D16C}" name="goals " totalsRowFunction="custom">
      <totalsRowFormula>SUM(Table1[[goals ]])</totalsRowFormula>
    </tableColumn>
    <tableColumn id="11" xr3:uid="{57B658C8-E4ED-447E-BD93-6B493DB23FEB}" name="Goals/A" totalsRowFunction="custom">
      <totalsRowFormula>SUM(Table1[Goals/A])</totalsRowFormula>
    </tableColumn>
    <tableColumn id="12" xr3:uid="{D60F0A17-9BD0-4F45-8AF0-26828112CD04}" name="open play Goals" totalsRowFunction="custom">
      <totalsRowFormula>SUM(Table1[open play Goals])</totalsRowFormula>
    </tableColumn>
    <tableColumn id="13" xr3:uid="{14B191E4-B0B4-4D9B-8106-D8F4798E57B4}" name="open play goals/A" totalsRowFunction="custom">
      <totalsRowFormula>SUM(Table1[open play goals/A])</totalsRowFormula>
    </tableColumn>
    <tableColumn id="14" xr3:uid="{4C854CD6-6550-428F-86A3-7FC9D6771C29}" name="corners" totalsRowFunction="custom">
      <totalsRowFormula>SUM(Table1[corners])</totalsRowFormula>
    </tableColumn>
    <tableColumn id="15" xr3:uid="{DF452489-B522-4C6F-995B-BC93C524A328}" name="Corners converted " totalsRowFunction="custom">
      <totalsRowFormula>SUM(Table1[[Corners converted ]])</totalsRowFormula>
    </tableColumn>
    <tableColumn id="16" xr3:uid="{25F07306-4C1A-4A24-9F23-CF1FB7704A0C}" name="cornors/A" totalsRowFunction="custom">
      <totalsRowFormula>SUM(Table1[cornors/A])</totalsRowFormula>
    </tableColumn>
    <tableColumn id="17" xr3:uid="{060B3548-4837-4892-B34C-84269269C25D}" name="Corner converted/A" totalsRowFunction="custom">
      <totalsRowFormula>SUM(Table1[Corner converted/A])</totalsRowFormula>
    </tableColumn>
    <tableColumn id="18" xr3:uid="{6919184F-D8D6-431B-8BD0-B6EE15CBEAEE}" name="Free kicks" totalsRowFunction="custom">
      <totalsRowFormula>SUM(Table1[Free kicks])</totalsRowFormula>
    </tableColumn>
    <tableColumn id="19" xr3:uid="{3F23A4E8-83B1-4F85-86A3-FCBA39504F20}" name="Freekicks/A" totalsRowFunction="custom">
      <totalsRowFormula>SUM(Table1[Freekicks/A])</totalsRowFormula>
    </tableColumn>
    <tableColumn id="20" xr3:uid="{C7665705-4BE2-47B2-9F79-6636B70D7E66}" name="Big Chances " totalsRowFunction="custom">
      <totalsRowFormula>SUM(Table1[[Big Chances ]])</totalsRowFormula>
    </tableColumn>
    <tableColumn id="21" xr3:uid="{B4571B2C-7C96-48D5-A223-A961F7A20A50}" name="big chances converted" totalsRowFunction="custom">
      <totalsRowFormula>SUM(Table1[big chances converted])</totalsRowFormula>
    </tableColumn>
    <tableColumn id="22" xr3:uid="{8C8CBB8A-9831-4196-9B79-66EB78BC399D}" name="big chances/A" totalsRowFunction="custom">
      <totalsRowFormula>SUM(Table1[big chances/A])</totalsRowFormula>
    </tableColumn>
    <tableColumn id="23" xr3:uid="{288B5815-0168-41B4-8718-5F84C3C58703}" name="big chances converted/A" totalsRowFunction="custom">
      <totalsRowFormula>SUM(Table1[big chances converted/A])</totalsRowFormula>
    </tableColumn>
    <tableColumn id="24" xr3:uid="{F0608ACE-B590-4965-B811-96CC9B0423DE}" name="crosses" totalsRowFunction="custom">
      <totalsRowFormula>SUM(Table1[crosses])</totalsRowFormula>
    </tableColumn>
    <tableColumn id="25" xr3:uid="{5AEC05FA-C2B9-48B9-8E59-92C61987950A}" name="crosses converted" totalsRowFunction="custom">
      <totalsRowFormula>SUM(Table1[crosses converted])</totalsRowFormula>
    </tableColumn>
    <tableColumn id="26" xr3:uid="{8F46230C-B4CA-4BFC-B0F2-36C3EBFAE471}" name="crosses/A" totalsRowFunction="custom">
      <totalsRowFormula>SUM(Table1[crosses/A])</totalsRowFormula>
    </tableColumn>
    <tableColumn id="27" xr3:uid="{74287053-B044-4B25-A575-EF7A3D67B5D5}" name="crosses converted/A" totalsRowFunction="custom">
      <totalsRowFormula>SUM(Table1[crosses converted/A])</totalsRowFormula>
    </tableColumn>
    <tableColumn id="29" xr3:uid="{C1EED237-FBE3-4BB9-9F19-529C83D4D8C8}" name="Touches in Opponent's Box " totalsRowFunction="custom">
      <totalsRowFormula>SUM(Table1[Touches in Opponent''s Box ])</totalsRowFormula>
    </tableColumn>
    <tableColumn id="30" xr3:uid="{D449B110-C9CA-4CFA-A1C5-DB05E90082A9}" name="Touches in Opponent's Box/A" totalsRowFunction="custom">
      <totalsRowFormula>SUM(Table1[Touches in Opponent''s Box/A])</totalsRowFormula>
    </tableColumn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Stats 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opLeftCell="J1" workbookViewId="0">
      <selection activeCell="W8" sqref="W8"/>
    </sheetView>
  </sheetViews>
  <sheetFormatPr defaultRowHeight="15"/>
  <cols>
    <col min="1" max="1" width="16.5703125" bestFit="1" customWidth="1"/>
    <col min="2" max="2" width="18.85546875" bestFit="1" customWidth="1"/>
    <col min="3" max="3" width="20.7109375" bestFit="1" customWidth="1"/>
    <col min="4" max="5" width="20.7109375" customWidth="1"/>
    <col min="6" max="6" width="28.7109375" bestFit="1" customWidth="1"/>
    <col min="7" max="7" width="20.42578125" bestFit="1" customWidth="1"/>
    <col min="8" max="8" width="17.42578125" bestFit="1" customWidth="1"/>
    <col min="9" max="9" width="19" bestFit="1" customWidth="1"/>
    <col min="10" max="11" width="14.42578125" customWidth="1"/>
    <col min="12" max="12" width="10.85546875" bestFit="1" customWidth="1"/>
    <col min="13" max="13" width="13" bestFit="1" customWidth="1"/>
    <col min="14" max="14" width="20.42578125" bestFit="1" customWidth="1"/>
    <col min="15" max="15" width="22.7109375" bestFit="1" customWidth="1"/>
    <col min="16" max="16" width="12.5703125" bestFit="1" customWidth="1"/>
    <col min="17" max="17" width="23.28515625" bestFit="1" customWidth="1"/>
    <col min="18" max="18" width="15" bestFit="1" customWidth="1"/>
    <col min="19" max="19" width="24.42578125" bestFit="1" customWidth="1"/>
    <col min="20" max="20" width="14.85546875" bestFit="1" customWidth="1"/>
    <col min="21" max="21" width="16.28515625" bestFit="1" customWidth="1"/>
    <col min="22" max="22" width="19.7109375" bestFit="1" customWidth="1"/>
    <col min="23" max="23" width="26.5703125" bestFit="1" customWidth="1"/>
    <col min="24" max="24" width="23.7109375" bestFit="1" customWidth="1"/>
    <col min="25" max="25" width="27.85546875" bestFit="1" customWidth="1"/>
    <col min="26" max="26" width="12.5703125" bestFit="1" customWidth="1"/>
    <col min="27" max="27" width="22.5703125" bestFit="1" customWidth="1"/>
    <col min="28" max="28" width="14.85546875" bestFit="1" customWidth="1"/>
    <col min="29" max="29" width="24.7109375" bestFit="1" customWidth="1"/>
    <col min="30" max="30" width="30.42578125" bestFit="1" customWidth="1"/>
    <col min="31" max="31" width="32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>
        <v>11</v>
      </c>
      <c r="C2">
        <v>16</v>
      </c>
      <c r="D2">
        <v>9</v>
      </c>
      <c r="E2">
        <v>11</v>
      </c>
      <c r="F2">
        <v>4</v>
      </c>
      <c r="G2">
        <v>5</v>
      </c>
      <c r="H2">
        <v>8</v>
      </c>
      <c r="I2">
        <v>11</v>
      </c>
      <c r="J2">
        <v>1.96</v>
      </c>
      <c r="K2">
        <v>1.1200000000000001</v>
      </c>
      <c r="L2">
        <v>0</v>
      </c>
      <c r="M2">
        <v>2</v>
      </c>
      <c r="N2">
        <v>0</v>
      </c>
      <c r="O2">
        <v>2</v>
      </c>
      <c r="P2">
        <v>0</v>
      </c>
      <c r="Q2">
        <v>0</v>
      </c>
      <c r="R2">
        <v>4</v>
      </c>
      <c r="S2">
        <v>0</v>
      </c>
      <c r="T2">
        <v>7</v>
      </c>
      <c r="U2">
        <v>15</v>
      </c>
      <c r="V2">
        <v>4</v>
      </c>
      <c r="W2">
        <v>0</v>
      </c>
      <c r="X2">
        <v>1</v>
      </c>
      <c r="Y2">
        <v>1</v>
      </c>
      <c r="Z2">
        <v>12</v>
      </c>
      <c r="AA2">
        <v>0</v>
      </c>
      <c r="AB2">
        <v>14</v>
      </c>
      <c r="AC2">
        <v>1</v>
      </c>
      <c r="AD2">
        <v>14</v>
      </c>
      <c r="AE2">
        <v>35</v>
      </c>
    </row>
    <row r="3" spans="1:31">
      <c r="A3" t="s">
        <v>32</v>
      </c>
      <c r="B3">
        <v>10</v>
      </c>
      <c r="C3">
        <v>18</v>
      </c>
      <c r="D3">
        <v>4</v>
      </c>
      <c r="E3">
        <v>12</v>
      </c>
      <c r="F3">
        <v>1</v>
      </c>
      <c r="G3">
        <v>9</v>
      </c>
      <c r="H3">
        <v>6</v>
      </c>
      <c r="I3">
        <v>13</v>
      </c>
      <c r="J3">
        <v>0.66</v>
      </c>
      <c r="K3">
        <v>2.21</v>
      </c>
      <c r="L3">
        <v>1</v>
      </c>
      <c r="M3">
        <v>4</v>
      </c>
      <c r="N3">
        <v>0</v>
      </c>
      <c r="O3">
        <v>4</v>
      </c>
      <c r="P3">
        <v>2</v>
      </c>
      <c r="Q3">
        <v>0</v>
      </c>
      <c r="R3">
        <v>6</v>
      </c>
      <c r="S3">
        <v>0</v>
      </c>
      <c r="T3">
        <v>11</v>
      </c>
      <c r="U3">
        <v>11</v>
      </c>
      <c r="V3">
        <v>3</v>
      </c>
      <c r="W3">
        <v>0</v>
      </c>
      <c r="X3">
        <v>5</v>
      </c>
      <c r="Y3">
        <v>3</v>
      </c>
      <c r="Z3">
        <v>18</v>
      </c>
      <c r="AA3">
        <v>0</v>
      </c>
      <c r="AB3">
        <v>15</v>
      </c>
      <c r="AC3">
        <v>1</v>
      </c>
      <c r="AD3">
        <v>14</v>
      </c>
      <c r="AE3">
        <v>35</v>
      </c>
    </row>
    <row r="4" spans="1:31">
      <c r="A4" t="s">
        <v>33</v>
      </c>
      <c r="B4">
        <v>10</v>
      </c>
      <c r="C4">
        <v>25</v>
      </c>
      <c r="D4">
        <v>7</v>
      </c>
      <c r="E4">
        <v>20</v>
      </c>
      <c r="F4">
        <v>5</v>
      </c>
      <c r="G4">
        <v>6</v>
      </c>
      <c r="H4">
        <v>7</v>
      </c>
      <c r="I4">
        <v>22</v>
      </c>
      <c r="J4">
        <v>1.97</v>
      </c>
      <c r="K4">
        <v>3.14</v>
      </c>
      <c r="L4">
        <v>3</v>
      </c>
      <c r="M4">
        <v>2</v>
      </c>
      <c r="N4">
        <v>3</v>
      </c>
      <c r="O4">
        <v>2</v>
      </c>
      <c r="P4">
        <v>1</v>
      </c>
      <c r="Q4">
        <v>0</v>
      </c>
      <c r="R4">
        <v>7</v>
      </c>
      <c r="S4">
        <v>0</v>
      </c>
      <c r="T4">
        <v>7</v>
      </c>
      <c r="U4">
        <v>13</v>
      </c>
      <c r="V4">
        <v>6</v>
      </c>
      <c r="W4">
        <v>3</v>
      </c>
      <c r="X4">
        <v>2</v>
      </c>
      <c r="Y4">
        <v>1</v>
      </c>
      <c r="Z4">
        <v>7</v>
      </c>
      <c r="AA4">
        <v>0</v>
      </c>
      <c r="AB4">
        <v>16</v>
      </c>
      <c r="AC4">
        <v>0</v>
      </c>
      <c r="AD4">
        <v>19</v>
      </c>
      <c r="AE4">
        <v>64</v>
      </c>
    </row>
    <row r="5" spans="1:31">
      <c r="A5" t="s">
        <v>34</v>
      </c>
      <c r="B5">
        <v>8</v>
      </c>
      <c r="C5">
        <v>16</v>
      </c>
      <c r="D5">
        <v>6</v>
      </c>
      <c r="E5">
        <v>11</v>
      </c>
      <c r="F5">
        <v>5</v>
      </c>
      <c r="G5">
        <v>4</v>
      </c>
      <c r="H5">
        <v>4</v>
      </c>
      <c r="I5">
        <v>9</v>
      </c>
      <c r="J5">
        <v>1.41</v>
      </c>
      <c r="K5">
        <v>1.6</v>
      </c>
      <c r="L5">
        <v>3</v>
      </c>
      <c r="M5">
        <v>0</v>
      </c>
      <c r="N5">
        <v>3</v>
      </c>
      <c r="O5">
        <v>0</v>
      </c>
      <c r="P5">
        <v>1</v>
      </c>
      <c r="Q5">
        <v>0</v>
      </c>
      <c r="R5">
        <v>6</v>
      </c>
      <c r="S5">
        <v>0</v>
      </c>
      <c r="T5">
        <v>12</v>
      </c>
      <c r="U5">
        <v>12</v>
      </c>
      <c r="V5">
        <v>2</v>
      </c>
      <c r="W5">
        <v>2</v>
      </c>
      <c r="X5">
        <v>1</v>
      </c>
      <c r="Y5">
        <v>0</v>
      </c>
      <c r="Z5">
        <v>5</v>
      </c>
      <c r="AA5">
        <v>2</v>
      </c>
      <c r="AB5">
        <v>17</v>
      </c>
      <c r="AC5">
        <v>0</v>
      </c>
      <c r="AD5">
        <v>9</v>
      </c>
      <c r="AE5">
        <v>52</v>
      </c>
    </row>
    <row r="6" spans="1:31">
      <c r="A6" t="s">
        <v>35</v>
      </c>
      <c r="B6">
        <v>11</v>
      </c>
      <c r="C6">
        <v>12</v>
      </c>
      <c r="D6">
        <v>10</v>
      </c>
      <c r="E6">
        <v>8</v>
      </c>
      <c r="F6">
        <v>4</v>
      </c>
      <c r="G6">
        <v>6</v>
      </c>
      <c r="H6">
        <v>9</v>
      </c>
      <c r="I6">
        <v>8</v>
      </c>
      <c r="J6">
        <v>0.62</v>
      </c>
      <c r="K6">
        <v>1.67</v>
      </c>
      <c r="L6">
        <v>2</v>
      </c>
      <c r="M6">
        <v>3</v>
      </c>
      <c r="N6">
        <v>2</v>
      </c>
      <c r="O6">
        <v>3</v>
      </c>
      <c r="P6">
        <v>6</v>
      </c>
      <c r="Q6">
        <v>0</v>
      </c>
      <c r="R6">
        <v>3</v>
      </c>
      <c r="S6">
        <v>0</v>
      </c>
      <c r="T6">
        <v>17</v>
      </c>
      <c r="U6">
        <v>6</v>
      </c>
      <c r="V6">
        <v>1</v>
      </c>
      <c r="W6">
        <v>0</v>
      </c>
      <c r="X6">
        <v>3</v>
      </c>
      <c r="Y6">
        <v>3</v>
      </c>
      <c r="Z6">
        <v>20</v>
      </c>
      <c r="AA6">
        <v>0</v>
      </c>
      <c r="AB6">
        <v>21</v>
      </c>
      <c r="AC6">
        <v>1</v>
      </c>
      <c r="AD6">
        <v>21</v>
      </c>
      <c r="AE6">
        <v>30</v>
      </c>
    </row>
    <row r="7" spans="1:31">
      <c r="A7" t="s">
        <v>36</v>
      </c>
      <c r="B7">
        <v>16</v>
      </c>
      <c r="C7">
        <v>17</v>
      </c>
      <c r="D7">
        <v>12</v>
      </c>
      <c r="E7">
        <v>15</v>
      </c>
      <c r="F7">
        <v>6</v>
      </c>
      <c r="G7">
        <v>6</v>
      </c>
      <c r="H7">
        <v>11</v>
      </c>
      <c r="I7">
        <v>9</v>
      </c>
      <c r="J7">
        <v>2.14</v>
      </c>
      <c r="K7">
        <v>1.1000000000000001</v>
      </c>
      <c r="L7">
        <v>4</v>
      </c>
      <c r="M7">
        <v>0</v>
      </c>
      <c r="N7">
        <v>2</v>
      </c>
      <c r="O7">
        <v>0</v>
      </c>
      <c r="P7">
        <v>6</v>
      </c>
      <c r="Q7">
        <v>1</v>
      </c>
      <c r="R7">
        <v>5</v>
      </c>
      <c r="S7">
        <v>0</v>
      </c>
      <c r="T7">
        <v>6</v>
      </c>
      <c r="U7">
        <v>14</v>
      </c>
      <c r="V7">
        <v>3</v>
      </c>
      <c r="W7">
        <v>2</v>
      </c>
      <c r="X7">
        <v>2</v>
      </c>
      <c r="Y7">
        <v>0</v>
      </c>
      <c r="Z7">
        <v>14</v>
      </c>
      <c r="AA7">
        <v>0</v>
      </c>
      <c r="AB7">
        <v>14</v>
      </c>
      <c r="AC7">
        <v>0</v>
      </c>
      <c r="AD7">
        <v>27</v>
      </c>
      <c r="AE7">
        <v>23</v>
      </c>
    </row>
    <row r="8" spans="1:31">
      <c r="A8" t="s">
        <v>37</v>
      </c>
      <c r="B8">
        <v>12</v>
      </c>
      <c r="C8">
        <v>13</v>
      </c>
      <c r="D8">
        <v>7</v>
      </c>
      <c r="E8">
        <v>3</v>
      </c>
      <c r="F8">
        <v>4</v>
      </c>
      <c r="G8">
        <v>2</v>
      </c>
      <c r="H8">
        <v>4</v>
      </c>
      <c r="I8">
        <v>9</v>
      </c>
      <c r="J8">
        <v>1.06</v>
      </c>
      <c r="K8">
        <v>1.31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4</v>
      </c>
      <c r="S8">
        <v>0</v>
      </c>
      <c r="T8">
        <v>12</v>
      </c>
      <c r="U8">
        <v>14</v>
      </c>
      <c r="V8">
        <v>2</v>
      </c>
      <c r="W8">
        <v>0</v>
      </c>
      <c r="X8">
        <v>1</v>
      </c>
      <c r="Y8">
        <v>0</v>
      </c>
      <c r="Z8">
        <v>10</v>
      </c>
      <c r="AA8">
        <v>0</v>
      </c>
      <c r="AB8">
        <v>17</v>
      </c>
      <c r="AC8">
        <v>0</v>
      </c>
      <c r="AD8">
        <v>17</v>
      </c>
      <c r="AE8">
        <v>17</v>
      </c>
    </row>
    <row r="9" spans="1:31">
      <c r="A9" t="s">
        <v>38</v>
      </c>
      <c r="B9">
        <f>SUM(Table1[[shots ]])</f>
        <v>78</v>
      </c>
      <c r="C9">
        <f>SUM(Table1[shots/A])</f>
        <v>117</v>
      </c>
      <c r="D9">
        <f>SUM(Table1[[Open play Shots ]])</f>
        <v>55</v>
      </c>
      <c r="E9">
        <f>SUM(Table1[Open play Shots/A])</f>
        <v>80</v>
      </c>
      <c r="F9">
        <f>SUM(Table1[shots on goal])</f>
        <v>29</v>
      </c>
      <c r="G9">
        <f>SUM(Table1[shots on goal/A])</f>
        <v>38</v>
      </c>
      <c r="H9">
        <f>SUM(Table1[shots in box])</f>
        <v>49</v>
      </c>
      <c r="I9">
        <f>SUM(Table1[shots in box/A])</f>
        <v>81</v>
      </c>
      <c r="J9">
        <f>SUM(Table1[XG])</f>
        <v>9.82</v>
      </c>
      <c r="K9">
        <f>SUM(Table1[XG/A])</f>
        <v>12.15</v>
      </c>
      <c r="L9">
        <f>SUM(Table1[[goals ]])</f>
        <v>13</v>
      </c>
      <c r="M9">
        <f>SUM(Table1[Goals/A])</f>
        <v>11</v>
      </c>
      <c r="N9">
        <f>SUM(Table1[open play Goals])</f>
        <v>10</v>
      </c>
      <c r="O9">
        <f>SUM(Table1[open play goals/A])</f>
        <v>11</v>
      </c>
      <c r="P9">
        <f>SUM(Table1[corners])</f>
        <v>19</v>
      </c>
      <c r="Q9">
        <f>SUM(Table1[[Corners converted ]])</f>
        <v>1</v>
      </c>
      <c r="R9">
        <f>SUM(Table1[cornors/A])</f>
        <v>35</v>
      </c>
      <c r="S9">
        <f>SUM(Table1[Corner converted/A])</f>
        <v>0</v>
      </c>
      <c r="T9">
        <f>SUM(Table1[Free kicks])</f>
        <v>72</v>
      </c>
      <c r="U9">
        <f>SUM(Table1[Freekicks/A])</f>
        <v>85</v>
      </c>
      <c r="V9">
        <f>SUM(Table1[[Big Chances ]])</f>
        <v>21</v>
      </c>
      <c r="W9">
        <f>SUM(Table1[big chances converted])</f>
        <v>7</v>
      </c>
      <c r="X9">
        <f>SUM(Table1[big chances/A])</f>
        <v>15</v>
      </c>
      <c r="Y9">
        <f>SUM(Table1[big chances converted/A])</f>
        <v>8</v>
      </c>
      <c r="Z9">
        <f>SUM(Table1[crosses])</f>
        <v>86</v>
      </c>
      <c r="AA9">
        <f>SUM(Table1[crosses converted])</f>
        <v>2</v>
      </c>
      <c r="AB9">
        <f>SUM(Table1[crosses/A])</f>
        <v>114</v>
      </c>
      <c r="AC9">
        <f>SUM(Table1[crosses converted/A])</f>
        <v>3</v>
      </c>
      <c r="AD9">
        <f>SUM(Table1[Touches in Opponent''s Box ])</f>
        <v>121</v>
      </c>
      <c r="AE9">
        <f>SUM(Table1[Touches in Opponent''s Box/A])</f>
        <v>256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B305-47C4-421D-AE7E-337D905C50D4}">
  <dimension ref="A1:M9"/>
  <sheetViews>
    <sheetView workbookViewId="0">
      <selection activeCell="A8" sqref="A8"/>
    </sheetView>
  </sheetViews>
  <sheetFormatPr defaultRowHeight="15"/>
  <cols>
    <col min="1" max="1" width="14.5703125" bestFit="1" customWidth="1"/>
    <col min="2" max="2" width="16.5703125" bestFit="1" customWidth="1"/>
    <col min="3" max="3" width="18.85546875" bestFit="1" customWidth="1"/>
    <col min="4" max="4" width="20.7109375" bestFit="1" customWidth="1"/>
    <col min="5" max="5" width="31.28515625" bestFit="1" customWidth="1"/>
    <col min="6" max="6" width="16.5703125" bestFit="1" customWidth="1"/>
    <col min="7" max="7" width="18.7109375" bestFit="1" customWidth="1"/>
    <col min="8" max="8" width="19.85546875" bestFit="1" customWidth="1"/>
    <col min="9" max="9" width="22" bestFit="1" customWidth="1"/>
    <col min="10" max="10" width="23.5703125" bestFit="1" customWidth="1"/>
    <col min="11" max="11" width="19.5703125" bestFit="1" customWidth="1"/>
    <col min="12" max="12" width="21.85546875" bestFit="1" customWidth="1"/>
  </cols>
  <sheetData>
    <row r="1" spans="1:13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31</v>
      </c>
      <c r="B2" s="1" cm="1">
        <f t="array" ref="B2:B9">IFERROR(Attacking!F2:F9/Attacking!B2:B9,0)</f>
        <v>0.36363636363636365</v>
      </c>
      <c r="C2" s="1" cm="1">
        <f t="array" ref="C2:C9">IFERROR(Attacking!G2:G9/Attacking!C2:C9,0)</f>
        <v>0.3125</v>
      </c>
      <c r="D2" s="1" cm="1">
        <f t="array" ref="D2:D9">IFERROR(Attacking!L2:L9/Attacking!B2:B9,0)</f>
        <v>0</v>
      </c>
      <c r="E2" s="1" cm="1">
        <f t="array" ref="E2:E9">IFERROR(Attacking!M2:M9/Attacking!G2:G9,0)</f>
        <v>0.4</v>
      </c>
      <c r="F2" s="1" cm="1">
        <f t="array" ref="F2:F9">IFERROR(Attacking!N2:N9/Attacking!L2:L9,0)</f>
        <v>0</v>
      </c>
      <c r="G2" s="1" cm="1">
        <f t="array" ref="G2:G9">IFERROR(Attacking!O2:O9/Attacking!M2:M9,0)</f>
        <v>1</v>
      </c>
      <c r="H2" s="1" cm="1">
        <f t="array" ref="H2:H9">IFERROR(Attacking!Q2:Q9/Attacking!P2:P9,0)</f>
        <v>0</v>
      </c>
      <c r="I2" s="1" cm="1">
        <f t="array" ref="I2:I9">IFERROR(Attacking!S2:S9/Attacking!R2:R9,0)</f>
        <v>0</v>
      </c>
      <c r="J2" s="1" cm="1">
        <f t="array" ref="J2:J9">IFERROR(Attacking!W2:W9/Attacking!V2:V9,0)</f>
        <v>0</v>
      </c>
      <c r="K2" s="1" cm="1">
        <f t="array" ref="K2:K9">IFERROR(Attacking!AA2:AA9/Attacking!Z2:Z9,0)</f>
        <v>0</v>
      </c>
      <c r="L2" s="1" cm="1">
        <f t="array" ref="L2:L9">IFERROR(Attacking!AC2:AC9/Attacking!AB2:AB9,0)</f>
        <v>7.1428571428571425E-2</v>
      </c>
      <c r="M2" s="1" cm="1">
        <f t="array" ref="M2:M9">IFERROR(Defending!N2:N9/Table1[[#Data],[#Totals],[shots on goal/A]],0)</f>
        <v>0.6</v>
      </c>
    </row>
    <row r="3" spans="1:13">
      <c r="A3" t="s">
        <v>32</v>
      </c>
      <c r="B3" s="1">
        <v>0.1</v>
      </c>
      <c r="C3" s="1">
        <v>0.5</v>
      </c>
      <c r="D3" s="1">
        <v>0.1</v>
      </c>
      <c r="E3" s="1">
        <v>0.44444444444444442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6.6666666666666666E-2</v>
      </c>
      <c r="M3" s="1">
        <v>0.44444444444444442</v>
      </c>
    </row>
    <row r="4" spans="1:13">
      <c r="A4" t="s">
        <v>33</v>
      </c>
      <c r="B4" s="1">
        <v>0.5</v>
      </c>
      <c r="C4" s="1">
        <v>0.24</v>
      </c>
      <c r="D4" s="1">
        <v>0.3</v>
      </c>
      <c r="E4" s="1">
        <v>0.33333333333333331</v>
      </c>
      <c r="F4" s="1">
        <v>1</v>
      </c>
      <c r="G4" s="1">
        <v>1</v>
      </c>
      <c r="H4" s="1">
        <v>0</v>
      </c>
      <c r="I4" s="1">
        <v>0</v>
      </c>
      <c r="J4" s="1">
        <v>0.5</v>
      </c>
      <c r="K4" s="1">
        <v>0</v>
      </c>
      <c r="L4" s="1">
        <v>0</v>
      </c>
      <c r="M4" s="1">
        <v>0.83333333333333337</v>
      </c>
    </row>
    <row r="5" spans="1:13">
      <c r="A5" t="s">
        <v>34</v>
      </c>
      <c r="B5" s="1">
        <v>0.625</v>
      </c>
      <c r="C5" s="1">
        <v>0.25</v>
      </c>
      <c r="D5" s="1">
        <v>0.375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1</v>
      </c>
      <c r="K5" s="1">
        <v>0.4</v>
      </c>
      <c r="L5" s="1">
        <v>0</v>
      </c>
      <c r="M5" s="1">
        <v>1</v>
      </c>
    </row>
    <row r="6" spans="1:13">
      <c r="A6" t="s">
        <v>35</v>
      </c>
      <c r="B6" s="1">
        <v>0.36363636363636365</v>
      </c>
      <c r="C6" s="1">
        <v>0.5</v>
      </c>
      <c r="D6" s="1">
        <v>0.18181818181818182</v>
      </c>
      <c r="E6" s="1">
        <v>0.5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4.7619047619047616E-2</v>
      </c>
      <c r="M6" s="1">
        <v>0.5</v>
      </c>
    </row>
    <row r="7" spans="1:13">
      <c r="A7" s="3" t="s">
        <v>36</v>
      </c>
      <c r="B7" s="1">
        <v>0.375</v>
      </c>
      <c r="C7" s="1">
        <v>0.35294117647058826</v>
      </c>
      <c r="D7" s="1">
        <v>0.25</v>
      </c>
      <c r="E7" s="1">
        <v>0</v>
      </c>
      <c r="F7" s="1">
        <v>0.5</v>
      </c>
      <c r="G7" s="1">
        <v>0</v>
      </c>
      <c r="H7" s="1">
        <v>0.16666666666666666</v>
      </c>
      <c r="I7" s="1">
        <v>0</v>
      </c>
      <c r="J7" s="1">
        <v>0.66666666666666663</v>
      </c>
      <c r="K7" s="1">
        <v>0</v>
      </c>
      <c r="L7" s="1">
        <v>0</v>
      </c>
      <c r="M7" s="1">
        <v>1</v>
      </c>
    </row>
    <row r="8" spans="1:13">
      <c r="A8" s="4" t="s">
        <v>37</v>
      </c>
      <c r="B8" s="1">
        <v>0.33333333333333331</v>
      </c>
      <c r="C8" s="1">
        <v>0.15384615384615385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</row>
    <row r="9" spans="1:13">
      <c r="A9" t="s">
        <v>38</v>
      </c>
      <c r="B9" s="1">
        <v>0.37179487179487181</v>
      </c>
      <c r="C9" s="1">
        <v>0.3247863247863248</v>
      </c>
      <c r="D9" s="1">
        <v>0.16666666666666666</v>
      </c>
      <c r="E9" s="1">
        <v>0.28947368421052633</v>
      </c>
      <c r="F9" s="1">
        <v>0.76923076923076927</v>
      </c>
      <c r="G9" s="1">
        <v>1</v>
      </c>
      <c r="H9" s="1">
        <v>5.2631578947368418E-2</v>
      </c>
      <c r="I9" s="1">
        <v>0</v>
      </c>
      <c r="J9" s="1">
        <v>0.33333333333333331</v>
      </c>
      <c r="K9" s="1">
        <v>2.3255813953488372E-2</v>
      </c>
      <c r="L9" s="1">
        <v>2.6315789473684209E-2</v>
      </c>
      <c r="M9" s="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23C6-10FD-49CA-A5A4-A8F20D59E012}">
  <dimension ref="A1:O9"/>
  <sheetViews>
    <sheetView topLeftCell="A2" workbookViewId="0">
      <selection activeCell="A8" sqref="A8"/>
    </sheetView>
  </sheetViews>
  <sheetFormatPr defaultRowHeight="15"/>
  <cols>
    <col min="1" max="1" width="14.5703125" bestFit="1" customWidth="1"/>
    <col min="2" max="3" width="14.5703125" customWidth="1"/>
    <col min="6" max="6" width="17.140625" bestFit="1" customWidth="1"/>
    <col min="7" max="7" width="19.42578125" bestFit="1" customWidth="1"/>
    <col min="8" max="9" width="15" customWidth="1"/>
    <col min="10" max="10" width="20.7109375" bestFit="1" customWidth="1"/>
    <col min="11" max="11" width="22.85546875" bestFit="1" customWidth="1"/>
    <col min="12" max="13" width="22.85546875" customWidth="1"/>
    <col min="15" max="15" width="14" bestFit="1" customWidth="1"/>
  </cols>
  <sheetData>
    <row r="1" spans="1:1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</row>
    <row r="2" spans="1:15">
      <c r="A2" t="s">
        <v>31</v>
      </c>
      <c r="B2">
        <v>15</v>
      </c>
      <c r="C2">
        <v>5</v>
      </c>
      <c r="D2">
        <v>25</v>
      </c>
      <c r="E2">
        <v>18</v>
      </c>
      <c r="F2">
        <v>10</v>
      </c>
      <c r="G2">
        <v>8</v>
      </c>
      <c r="H2">
        <v>13</v>
      </c>
      <c r="I2">
        <v>10</v>
      </c>
      <c r="J2">
        <v>2</v>
      </c>
      <c r="K2">
        <v>1</v>
      </c>
      <c r="L2">
        <v>1</v>
      </c>
      <c r="M2">
        <v>0</v>
      </c>
      <c r="N2">
        <v>3</v>
      </c>
      <c r="O2">
        <v>4</v>
      </c>
    </row>
    <row r="3" spans="1:15">
      <c r="A3" t="s">
        <v>32</v>
      </c>
      <c r="B3">
        <v>8</v>
      </c>
      <c r="C3">
        <v>11</v>
      </c>
      <c r="D3">
        <v>34</v>
      </c>
      <c r="E3">
        <v>14</v>
      </c>
      <c r="F3">
        <v>11</v>
      </c>
      <c r="G3">
        <v>9</v>
      </c>
      <c r="H3">
        <v>8</v>
      </c>
      <c r="I3">
        <v>14</v>
      </c>
      <c r="J3">
        <v>0</v>
      </c>
      <c r="K3">
        <v>0</v>
      </c>
      <c r="L3">
        <v>0</v>
      </c>
      <c r="M3">
        <v>0</v>
      </c>
      <c r="N3">
        <v>4</v>
      </c>
      <c r="O3">
        <v>1</v>
      </c>
    </row>
    <row r="4" spans="1:15">
      <c r="A4" t="s">
        <v>33</v>
      </c>
      <c r="B4">
        <v>7</v>
      </c>
      <c r="C4">
        <v>6</v>
      </c>
      <c r="D4">
        <v>18</v>
      </c>
      <c r="E4">
        <v>11</v>
      </c>
      <c r="F4">
        <v>12</v>
      </c>
      <c r="G4">
        <v>9</v>
      </c>
      <c r="H4">
        <v>6</v>
      </c>
      <c r="I4">
        <v>3</v>
      </c>
      <c r="J4">
        <v>1</v>
      </c>
      <c r="K4">
        <v>1</v>
      </c>
      <c r="L4">
        <v>1</v>
      </c>
      <c r="M4">
        <v>0</v>
      </c>
      <c r="N4">
        <v>5</v>
      </c>
      <c r="O4">
        <v>2</v>
      </c>
    </row>
    <row r="5" spans="1:15">
      <c r="A5" t="s">
        <v>34</v>
      </c>
      <c r="B5">
        <v>10</v>
      </c>
      <c r="C5">
        <v>11</v>
      </c>
      <c r="D5">
        <v>34</v>
      </c>
      <c r="E5">
        <v>8</v>
      </c>
      <c r="F5">
        <v>5</v>
      </c>
      <c r="G5">
        <v>7</v>
      </c>
      <c r="H5">
        <v>6</v>
      </c>
      <c r="I5">
        <v>16</v>
      </c>
      <c r="J5">
        <v>0</v>
      </c>
      <c r="K5">
        <v>0</v>
      </c>
      <c r="L5">
        <v>0</v>
      </c>
      <c r="M5">
        <v>0</v>
      </c>
      <c r="N5">
        <v>4</v>
      </c>
      <c r="O5">
        <v>4</v>
      </c>
    </row>
    <row r="6" spans="1:15">
      <c r="A6" t="s">
        <v>35</v>
      </c>
      <c r="B6">
        <v>6</v>
      </c>
      <c r="C6">
        <v>16</v>
      </c>
      <c r="D6">
        <v>18</v>
      </c>
      <c r="E6">
        <v>12</v>
      </c>
      <c r="F6">
        <v>7</v>
      </c>
      <c r="G6">
        <v>11</v>
      </c>
      <c r="H6">
        <v>6</v>
      </c>
      <c r="I6">
        <v>12</v>
      </c>
      <c r="J6">
        <v>1</v>
      </c>
      <c r="K6">
        <v>1</v>
      </c>
      <c r="L6">
        <v>0</v>
      </c>
      <c r="M6">
        <v>0</v>
      </c>
      <c r="N6">
        <v>3</v>
      </c>
      <c r="O6">
        <v>2</v>
      </c>
    </row>
    <row r="7" spans="1:15">
      <c r="A7" s="3" t="s">
        <v>36</v>
      </c>
      <c r="B7">
        <v>11</v>
      </c>
      <c r="C7">
        <v>7</v>
      </c>
      <c r="D7">
        <v>20</v>
      </c>
      <c r="E7">
        <v>11</v>
      </c>
      <c r="F7">
        <v>21</v>
      </c>
      <c r="G7">
        <v>9</v>
      </c>
      <c r="H7">
        <v>5</v>
      </c>
      <c r="I7">
        <v>11</v>
      </c>
      <c r="J7">
        <v>1</v>
      </c>
      <c r="K7">
        <v>1</v>
      </c>
      <c r="L7">
        <v>0</v>
      </c>
      <c r="M7">
        <v>1</v>
      </c>
      <c r="N7">
        <v>6</v>
      </c>
      <c r="O7">
        <v>2</v>
      </c>
    </row>
    <row r="8" spans="1:15">
      <c r="A8" t="s">
        <v>37</v>
      </c>
      <c r="B8">
        <v>12</v>
      </c>
      <c r="C8">
        <v>10</v>
      </c>
      <c r="D8">
        <v>17</v>
      </c>
      <c r="E8">
        <v>17</v>
      </c>
      <c r="F8">
        <v>8</v>
      </c>
      <c r="G8">
        <v>17</v>
      </c>
      <c r="H8">
        <v>9</v>
      </c>
      <c r="I8">
        <v>7</v>
      </c>
      <c r="J8">
        <v>1</v>
      </c>
      <c r="K8">
        <v>0</v>
      </c>
      <c r="L8">
        <v>0</v>
      </c>
      <c r="M8">
        <v>0</v>
      </c>
      <c r="N8">
        <v>2</v>
      </c>
      <c r="O8">
        <v>5</v>
      </c>
    </row>
    <row r="9" spans="1:15">
      <c r="A9" t="s">
        <v>38</v>
      </c>
      <c r="B9">
        <f>SUM(B2:B6)</f>
        <v>46</v>
      </c>
      <c r="C9">
        <f>SUM(C2:C6)</f>
        <v>49</v>
      </c>
      <c r="D9">
        <f>SUM(D2:D6)</f>
        <v>129</v>
      </c>
      <c r="E9">
        <f>SUM(E2:E6)</f>
        <v>63</v>
      </c>
      <c r="F9">
        <f>SUM(F2:F6)</f>
        <v>45</v>
      </c>
      <c r="G9">
        <f>SUM(G2:G6)</f>
        <v>44</v>
      </c>
      <c r="H9">
        <f>SUM(H2:H6)</f>
        <v>39</v>
      </c>
      <c r="I9">
        <f>SUM(I2:I6)</f>
        <v>55</v>
      </c>
      <c r="J9">
        <f>SUM(J2:J6)</f>
        <v>4</v>
      </c>
      <c r="K9">
        <f>SUM(K2:K6)</f>
        <v>3</v>
      </c>
      <c r="L9">
        <f>SUM(L2:L6)</f>
        <v>2</v>
      </c>
      <c r="M9">
        <f>SUM(M2:M6)</f>
        <v>0</v>
      </c>
      <c r="N9">
        <f>SUM(N2:N6)</f>
        <v>19</v>
      </c>
      <c r="O9">
        <f>SUM(O2:O6)</f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1CAF-C439-4738-93AB-1A6469F891CA}">
  <dimension ref="A1:S37"/>
  <sheetViews>
    <sheetView workbookViewId="0">
      <selection activeCell="F3" sqref="F3"/>
    </sheetView>
  </sheetViews>
  <sheetFormatPr defaultRowHeight="15"/>
  <cols>
    <col min="1" max="1" width="14.5703125" bestFit="1" customWidth="1"/>
    <col min="2" max="2" width="11" bestFit="1" customWidth="1"/>
    <col min="3" max="3" width="12.5703125" bestFit="1" customWidth="1"/>
    <col min="6" max="6" width="12" bestFit="1" customWidth="1"/>
    <col min="7" max="7" width="14.28515625" bestFit="1" customWidth="1"/>
    <col min="9" max="9" width="11.85546875" bestFit="1" customWidth="1"/>
    <col min="10" max="10" width="18.7109375" bestFit="1" customWidth="1"/>
    <col min="11" max="11" width="20.7109375" bestFit="1" customWidth="1"/>
    <col min="12" max="12" width="11.28515625" bestFit="1" customWidth="1"/>
    <col min="13" max="13" width="12.140625" bestFit="1" customWidth="1"/>
    <col min="15" max="15" width="11.85546875" bestFit="1" customWidth="1"/>
    <col min="16" max="16" width="12.5703125" bestFit="1" customWidth="1"/>
    <col min="17" max="17" width="14.28515625" bestFit="1" customWidth="1"/>
    <col min="19" max="19" width="11.7109375" bestFit="1" customWidth="1"/>
  </cols>
  <sheetData>
    <row r="1" spans="1:19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</row>
    <row r="2" spans="1:19">
      <c r="A2" t="s">
        <v>31</v>
      </c>
      <c r="B2" s="2" t="s">
        <v>83</v>
      </c>
      <c r="C2" s="2" t="s">
        <v>84</v>
      </c>
      <c r="D2">
        <v>601</v>
      </c>
      <c r="E2">
        <v>436</v>
      </c>
      <c r="F2">
        <v>553</v>
      </c>
      <c r="G2">
        <v>367</v>
      </c>
      <c r="H2">
        <v>32</v>
      </c>
      <c r="I2">
        <v>54</v>
      </c>
      <c r="J2">
        <v>6</v>
      </c>
      <c r="K2">
        <v>4</v>
      </c>
      <c r="L2">
        <v>16</v>
      </c>
      <c r="M2">
        <v>23</v>
      </c>
      <c r="N2">
        <v>11</v>
      </c>
      <c r="O2">
        <v>6</v>
      </c>
      <c r="P2">
        <v>1</v>
      </c>
      <c r="Q2">
        <v>0</v>
      </c>
      <c r="R2">
        <v>0</v>
      </c>
      <c r="S2">
        <v>0</v>
      </c>
    </row>
    <row r="3" spans="1:19">
      <c r="A3" t="s">
        <v>32</v>
      </c>
      <c r="B3" s="2" t="s">
        <v>85</v>
      </c>
      <c r="C3" s="2" t="s">
        <v>86</v>
      </c>
      <c r="D3">
        <v>317</v>
      </c>
      <c r="E3">
        <v>807</v>
      </c>
      <c r="F3">
        <v>266</v>
      </c>
      <c r="G3">
        <v>749</v>
      </c>
      <c r="H3">
        <v>33</v>
      </c>
      <c r="I3">
        <v>41</v>
      </c>
      <c r="J3">
        <v>4</v>
      </c>
      <c r="K3">
        <v>9</v>
      </c>
      <c r="L3">
        <v>12</v>
      </c>
      <c r="M3">
        <v>19</v>
      </c>
      <c r="N3">
        <v>5</v>
      </c>
      <c r="O3">
        <v>6</v>
      </c>
      <c r="P3">
        <v>1</v>
      </c>
      <c r="Q3">
        <v>2</v>
      </c>
      <c r="R3">
        <v>0</v>
      </c>
      <c r="S3">
        <v>0</v>
      </c>
    </row>
    <row r="4" spans="1:19">
      <c r="A4" t="s">
        <v>33</v>
      </c>
      <c r="B4" s="2" t="s">
        <v>87</v>
      </c>
      <c r="C4" s="2" t="s">
        <v>88</v>
      </c>
      <c r="D4">
        <v>392</v>
      </c>
      <c r="E4">
        <v>699</v>
      </c>
      <c r="F4">
        <v>330</v>
      </c>
      <c r="G4">
        <v>631</v>
      </c>
      <c r="H4">
        <v>51</v>
      </c>
      <c r="I4">
        <v>48</v>
      </c>
      <c r="J4">
        <v>4</v>
      </c>
      <c r="K4">
        <v>6</v>
      </c>
      <c r="L4">
        <v>17</v>
      </c>
      <c r="M4">
        <v>20</v>
      </c>
      <c r="N4">
        <v>17</v>
      </c>
      <c r="O4">
        <v>6</v>
      </c>
      <c r="P4">
        <v>0</v>
      </c>
      <c r="Q4">
        <v>0</v>
      </c>
      <c r="R4">
        <v>0</v>
      </c>
      <c r="S4">
        <v>0</v>
      </c>
    </row>
    <row r="5" spans="1:19">
      <c r="A5" t="s">
        <v>34</v>
      </c>
      <c r="B5" s="2" t="s">
        <v>89</v>
      </c>
      <c r="C5" s="2" t="s">
        <v>90</v>
      </c>
      <c r="D5">
        <v>427</v>
      </c>
      <c r="E5">
        <v>622</v>
      </c>
      <c r="F5">
        <v>374</v>
      </c>
      <c r="G5">
        <v>563</v>
      </c>
      <c r="H5">
        <v>45</v>
      </c>
      <c r="I5">
        <v>40</v>
      </c>
      <c r="J5">
        <v>5</v>
      </c>
      <c r="K5">
        <v>7</v>
      </c>
      <c r="L5">
        <v>13</v>
      </c>
      <c r="M5">
        <v>12</v>
      </c>
      <c r="N5">
        <v>11</v>
      </c>
      <c r="O5">
        <v>3</v>
      </c>
      <c r="P5">
        <v>0</v>
      </c>
      <c r="Q5">
        <v>2</v>
      </c>
      <c r="R5">
        <v>0</v>
      </c>
      <c r="S5">
        <v>0</v>
      </c>
    </row>
    <row r="6" spans="1:19">
      <c r="A6" t="s">
        <v>35</v>
      </c>
      <c r="B6" s="2" t="s">
        <v>91</v>
      </c>
      <c r="C6" s="2" t="s">
        <v>92</v>
      </c>
      <c r="D6">
        <v>412</v>
      </c>
      <c r="E6">
        <v>481</v>
      </c>
      <c r="F6">
        <v>343</v>
      </c>
      <c r="G6">
        <v>410</v>
      </c>
      <c r="H6">
        <v>45</v>
      </c>
      <c r="I6">
        <v>50</v>
      </c>
      <c r="J6">
        <v>5</v>
      </c>
      <c r="K6">
        <v>4</v>
      </c>
      <c r="L6">
        <v>21</v>
      </c>
      <c r="M6">
        <v>21</v>
      </c>
      <c r="N6">
        <v>9</v>
      </c>
      <c r="O6">
        <v>15</v>
      </c>
      <c r="P6">
        <v>1</v>
      </c>
      <c r="Q6">
        <v>3</v>
      </c>
      <c r="R6">
        <v>1</v>
      </c>
      <c r="S6">
        <v>0</v>
      </c>
    </row>
    <row r="7" spans="1:19">
      <c r="A7" s="3" t="s">
        <v>36</v>
      </c>
      <c r="B7" s="2" t="s">
        <v>93</v>
      </c>
      <c r="C7" s="2" t="s">
        <v>94</v>
      </c>
      <c r="D7">
        <v>570</v>
      </c>
      <c r="E7">
        <v>508</v>
      </c>
      <c r="F7">
        <v>512</v>
      </c>
      <c r="G7">
        <v>452</v>
      </c>
      <c r="H7">
        <v>42</v>
      </c>
      <c r="I7">
        <v>38</v>
      </c>
      <c r="J7">
        <v>6</v>
      </c>
      <c r="K7">
        <v>5</v>
      </c>
      <c r="L7">
        <v>11</v>
      </c>
      <c r="M7">
        <v>13</v>
      </c>
      <c r="N7">
        <v>5</v>
      </c>
      <c r="O7">
        <v>10</v>
      </c>
      <c r="P7">
        <v>0</v>
      </c>
      <c r="Q7">
        <v>2</v>
      </c>
      <c r="R7">
        <v>0</v>
      </c>
      <c r="S7">
        <v>1</v>
      </c>
    </row>
    <row r="8" spans="1:19">
      <c r="A8" t="s">
        <v>37</v>
      </c>
      <c r="B8" s="2" t="s">
        <v>95</v>
      </c>
      <c r="C8" s="2" t="s">
        <v>96</v>
      </c>
      <c r="D8">
        <v>438</v>
      </c>
      <c r="E8">
        <v>449</v>
      </c>
      <c r="F8">
        <v>379</v>
      </c>
      <c r="G8">
        <v>383</v>
      </c>
      <c r="H8">
        <v>47</v>
      </c>
      <c r="I8">
        <v>49</v>
      </c>
      <c r="J8">
        <v>5</v>
      </c>
      <c r="K8">
        <v>5</v>
      </c>
      <c r="L8">
        <v>19</v>
      </c>
      <c r="M8">
        <v>21</v>
      </c>
      <c r="N8">
        <v>8</v>
      </c>
      <c r="O8">
        <v>8</v>
      </c>
      <c r="P8">
        <v>3</v>
      </c>
      <c r="Q8">
        <v>2</v>
      </c>
      <c r="R8">
        <v>0</v>
      </c>
      <c r="S8">
        <v>0</v>
      </c>
    </row>
    <row r="9" spans="1:19">
      <c r="A9" t="s">
        <v>38</v>
      </c>
      <c r="B9" s="2"/>
      <c r="C9" s="2"/>
      <c r="D9">
        <f>SUM(D2:D6)</f>
        <v>2149</v>
      </c>
      <c r="E9">
        <f>SUM(E2:E6)</f>
        <v>3045</v>
      </c>
      <c r="F9">
        <f>SUM(F2:F6)</f>
        <v>1866</v>
      </c>
      <c r="G9">
        <f>SUM(G2:G6)</f>
        <v>2720</v>
      </c>
      <c r="H9">
        <f>SUM(H2:H6)</f>
        <v>206</v>
      </c>
      <c r="I9">
        <f>SUM(I2:I6)</f>
        <v>233</v>
      </c>
      <c r="L9">
        <f>SUM(L2:L6)</f>
        <v>79</v>
      </c>
      <c r="M9">
        <f>SUM(M2:M6)</f>
        <v>95</v>
      </c>
      <c r="N9">
        <f>SUM(N2:N6)</f>
        <v>53</v>
      </c>
      <c r="O9">
        <f>SUM(O2:O6)</f>
        <v>36</v>
      </c>
      <c r="P9">
        <f>SUM(P2:P6)</f>
        <v>3</v>
      </c>
      <c r="Q9">
        <f>SUM(Q2:Q6)</f>
        <v>7</v>
      </c>
      <c r="R9">
        <f>SUM(R2:R6)</f>
        <v>1</v>
      </c>
      <c r="S9">
        <f>SUM(S2:S6)</f>
        <v>0</v>
      </c>
    </row>
    <row r="10" spans="1:19">
      <c r="B10" s="2"/>
      <c r="C10" s="2"/>
    </row>
    <row r="11" spans="1:19">
      <c r="B11" s="2"/>
      <c r="C11" s="2"/>
    </row>
    <row r="12" spans="1:19">
      <c r="B12" s="2"/>
      <c r="C12" s="2"/>
    </row>
    <row r="13" spans="1:19">
      <c r="B13" s="2"/>
      <c r="C13" s="2"/>
    </row>
    <row r="14" spans="1:19">
      <c r="B14" s="2"/>
      <c r="C14" s="2"/>
    </row>
    <row r="15" spans="1:19">
      <c r="B15" s="2"/>
      <c r="C15" s="2"/>
    </row>
    <row r="16" spans="1:19">
      <c r="B16" s="2"/>
      <c r="C16" s="2"/>
    </row>
    <row r="17" spans="2:3">
      <c r="B17" s="2"/>
      <c r="C17" s="2"/>
    </row>
    <row r="18" spans="2:3">
      <c r="B18" s="2"/>
      <c r="C18" s="2"/>
    </row>
    <row r="19" spans="2:3">
      <c r="B19" s="2"/>
      <c r="C19" s="2"/>
    </row>
    <row r="20" spans="2:3"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  <row r="26" spans="2:3">
      <c r="B26" s="2"/>
      <c r="C26" s="2"/>
    </row>
    <row r="27" spans="2:3">
      <c r="B27" s="2"/>
      <c r="C27" s="2"/>
    </row>
    <row r="28" spans="2:3">
      <c r="B28" s="2"/>
      <c r="C28" s="2"/>
    </row>
    <row r="29" spans="2:3">
      <c r="B29" s="2"/>
      <c r="C29" s="2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2:3">
      <c r="B33" s="2"/>
      <c r="C33" s="2"/>
    </row>
    <row r="34" spans="2:3">
      <c r="B34" s="2"/>
      <c r="C34" s="2"/>
    </row>
    <row r="35" spans="2:3">
      <c r="B35" s="2"/>
      <c r="C35" s="2"/>
    </row>
    <row r="36" spans="2:3">
      <c r="B36" s="2"/>
      <c r="C36" s="2"/>
    </row>
    <row r="37" spans="2:3">
      <c r="B37" s="2"/>
      <c r="C3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9990-5761-4E57-8427-45F8F14E35F6}">
  <dimension ref="A1:M59"/>
  <sheetViews>
    <sheetView workbookViewId="0">
      <selection activeCell="A8" sqref="A8"/>
    </sheetView>
  </sheetViews>
  <sheetFormatPr defaultRowHeight="15"/>
  <cols>
    <col min="1" max="1" width="14.5703125" bestFit="1" customWidth="1"/>
    <col min="2" max="2" width="25.28515625" bestFit="1" customWidth="1"/>
    <col min="3" max="3" width="26.85546875" bestFit="1" customWidth="1"/>
    <col min="4" max="4" width="23.5703125" bestFit="1" customWidth="1"/>
    <col min="5" max="5" width="27" bestFit="1" customWidth="1"/>
    <col min="6" max="6" width="28.85546875" bestFit="1" customWidth="1"/>
    <col min="7" max="7" width="25.85546875" bestFit="1" customWidth="1"/>
    <col min="8" max="8" width="23.7109375" bestFit="1" customWidth="1"/>
    <col min="9" max="9" width="25.7109375" bestFit="1" customWidth="1"/>
    <col min="10" max="10" width="22" bestFit="1" customWidth="1"/>
    <col min="11" max="11" width="25.28515625" bestFit="1" customWidth="1"/>
    <col min="12" max="12" width="27.28515625" bestFit="1" customWidth="1"/>
    <col min="13" max="13" width="24.140625" bestFit="1" customWidth="1"/>
  </cols>
  <sheetData>
    <row r="1" spans="1:13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</row>
    <row r="2" spans="1:13">
      <c r="A2" t="s">
        <v>31</v>
      </c>
      <c r="B2" s="1">
        <v>0.34</v>
      </c>
      <c r="C2" s="1">
        <v>0.27</v>
      </c>
      <c r="D2" s="1">
        <v>0.39</v>
      </c>
      <c r="E2" s="1">
        <v>0.45</v>
      </c>
      <c r="F2" s="1">
        <v>0.23</v>
      </c>
      <c r="G2" s="1">
        <v>0.32</v>
      </c>
      <c r="H2" s="1">
        <v>0.09</v>
      </c>
      <c r="I2" s="1">
        <v>0.82</v>
      </c>
      <c r="J2" s="1">
        <v>0.09</v>
      </c>
      <c r="K2" s="1">
        <v>0</v>
      </c>
      <c r="L2" s="1">
        <v>0.44</v>
      </c>
      <c r="M2" s="1">
        <v>0.56000000000000005</v>
      </c>
    </row>
    <row r="3" spans="1:13">
      <c r="A3" t="s">
        <v>32</v>
      </c>
      <c r="B3" s="1">
        <v>0.47</v>
      </c>
      <c r="C3" s="1">
        <v>0.2</v>
      </c>
      <c r="D3" s="1">
        <v>0.33</v>
      </c>
      <c r="E3" s="1">
        <v>0.28999999999999998</v>
      </c>
      <c r="F3" s="1">
        <v>0.3</v>
      </c>
      <c r="G3" s="1">
        <v>0.41</v>
      </c>
      <c r="H3" s="1">
        <v>0.1</v>
      </c>
      <c r="I3" s="1">
        <v>0.7</v>
      </c>
      <c r="J3" s="1">
        <v>0.2</v>
      </c>
      <c r="K3" s="1">
        <v>0.06</v>
      </c>
      <c r="L3" s="1">
        <v>0.67</v>
      </c>
      <c r="M3" s="1">
        <v>0.28000000000000003</v>
      </c>
    </row>
    <row r="4" spans="1:13">
      <c r="A4" t="s">
        <v>33</v>
      </c>
      <c r="B4" s="1">
        <v>0.34</v>
      </c>
      <c r="C4" s="1">
        <v>0.21</v>
      </c>
      <c r="D4" s="1">
        <v>0.45</v>
      </c>
      <c r="E4" s="1">
        <v>0.31</v>
      </c>
      <c r="F4" s="1">
        <v>0.45</v>
      </c>
      <c r="G4" s="1">
        <v>0.24</v>
      </c>
      <c r="H4" s="1">
        <v>0.1</v>
      </c>
      <c r="I4" s="1">
        <v>0.7</v>
      </c>
      <c r="J4" s="1">
        <v>0.2</v>
      </c>
      <c r="K4" s="1">
        <v>0.4</v>
      </c>
      <c r="L4" s="1">
        <v>0.76</v>
      </c>
      <c r="M4" s="1">
        <v>0.2</v>
      </c>
    </row>
    <row r="5" spans="1:13">
      <c r="A5" t="s">
        <v>34</v>
      </c>
      <c r="B5" s="1">
        <v>0.39</v>
      </c>
      <c r="C5" s="1">
        <v>0.34</v>
      </c>
      <c r="D5" s="1">
        <v>0.26</v>
      </c>
      <c r="E5" s="1">
        <v>0.33</v>
      </c>
      <c r="F5" s="1">
        <v>0.32</v>
      </c>
      <c r="G5" s="1">
        <v>0.36</v>
      </c>
      <c r="H5" s="1">
        <v>0</v>
      </c>
      <c r="I5" s="1">
        <v>0.88</v>
      </c>
      <c r="J5" s="1">
        <v>0.13</v>
      </c>
      <c r="K5" s="1">
        <v>0.25</v>
      </c>
      <c r="L5" s="1">
        <v>0.5</v>
      </c>
      <c r="M5" s="1">
        <v>0.25</v>
      </c>
    </row>
    <row r="6" spans="1:13">
      <c r="A6" t="s">
        <v>35</v>
      </c>
      <c r="B6" s="1">
        <v>0.4</v>
      </c>
      <c r="C6" s="1">
        <v>0.27</v>
      </c>
      <c r="D6" s="1">
        <v>0.33</v>
      </c>
      <c r="E6" s="1">
        <v>0.45</v>
      </c>
      <c r="F6" s="1">
        <v>0.23</v>
      </c>
      <c r="G6" s="1">
        <v>0.32</v>
      </c>
      <c r="H6" s="1">
        <v>0.36</v>
      </c>
      <c r="I6" s="1">
        <v>0.45</v>
      </c>
      <c r="J6" s="1">
        <v>0.18</v>
      </c>
      <c r="K6" s="1">
        <v>0.17</v>
      </c>
      <c r="L6" s="1">
        <v>0.75</v>
      </c>
      <c r="M6" s="1">
        <v>0.08</v>
      </c>
    </row>
    <row r="7" spans="1:13">
      <c r="A7" s="3" t="s">
        <v>36</v>
      </c>
      <c r="B7" s="1">
        <v>0.39</v>
      </c>
      <c r="C7" s="1">
        <v>0.27</v>
      </c>
      <c r="D7" s="1">
        <v>0.33</v>
      </c>
      <c r="E7" s="1">
        <v>0.32</v>
      </c>
      <c r="F7" s="1">
        <v>0.32</v>
      </c>
      <c r="G7" s="1">
        <v>0.36</v>
      </c>
      <c r="H7" s="1">
        <v>0.19</v>
      </c>
      <c r="I7" s="1">
        <v>0.75</v>
      </c>
      <c r="J7" s="1">
        <v>0.06</v>
      </c>
      <c r="K7" s="1">
        <v>0.18</v>
      </c>
      <c r="L7" s="1">
        <v>0.59</v>
      </c>
      <c r="M7" s="1">
        <v>0.24</v>
      </c>
    </row>
    <row r="8" spans="1:13">
      <c r="A8" t="s">
        <v>37</v>
      </c>
      <c r="B8" s="1">
        <v>0.34</v>
      </c>
      <c r="C8" s="1">
        <v>0.3</v>
      </c>
      <c r="D8" s="1">
        <v>0.36</v>
      </c>
      <c r="E8" s="1">
        <v>0.32</v>
      </c>
      <c r="F8" s="1">
        <v>0.28999999999999998</v>
      </c>
      <c r="G8" s="1">
        <v>0.39</v>
      </c>
      <c r="H8" s="1">
        <v>0.08</v>
      </c>
      <c r="I8" s="1">
        <v>0.75</v>
      </c>
      <c r="J8" s="1">
        <v>0.17</v>
      </c>
      <c r="K8" s="1">
        <v>0.08</v>
      </c>
      <c r="L8" s="1">
        <v>0.92</v>
      </c>
      <c r="M8" s="1">
        <v>0</v>
      </c>
    </row>
    <row r="9" spans="1:1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H13" s="1"/>
      <c r="I13" s="1"/>
      <c r="J13" s="1"/>
      <c r="K13" s="1"/>
      <c r="L13" s="1"/>
      <c r="M13" s="1"/>
    </row>
    <row r="14" spans="1:13">
      <c r="H14" s="1"/>
      <c r="I14" s="1"/>
      <c r="J14" s="1"/>
      <c r="K14" s="1"/>
      <c r="L14" s="1"/>
      <c r="M14" s="1"/>
    </row>
    <row r="15" spans="1:13">
      <c r="H15" s="1"/>
      <c r="I15" s="1"/>
      <c r="J15" s="1"/>
      <c r="K15" s="1"/>
      <c r="L15" s="1"/>
      <c r="M15" s="1"/>
    </row>
    <row r="16" spans="1:13">
      <c r="H16" s="1"/>
      <c r="I16" s="1"/>
      <c r="J16" s="1"/>
      <c r="K16" s="1"/>
      <c r="L16" s="1"/>
      <c r="M16" s="1"/>
    </row>
    <row r="17" spans="8:13">
      <c r="H17" s="1"/>
      <c r="I17" s="1"/>
      <c r="J17" s="1"/>
      <c r="K17" s="1"/>
      <c r="L17" s="1"/>
      <c r="M17" s="1"/>
    </row>
    <row r="18" spans="8:13">
      <c r="H18" s="1"/>
      <c r="I18" s="1"/>
      <c r="J18" s="1"/>
      <c r="K18" s="1"/>
      <c r="L18" s="1"/>
      <c r="M18" s="1"/>
    </row>
    <row r="19" spans="8:13">
      <c r="H19" s="1"/>
      <c r="I19" s="1"/>
      <c r="J19" s="1"/>
      <c r="K19" s="1"/>
      <c r="L19" s="1"/>
      <c r="M19" s="1"/>
    </row>
    <row r="20" spans="8:13">
      <c r="H20" s="1"/>
      <c r="I20" s="1"/>
      <c r="J20" s="1"/>
      <c r="K20" s="1"/>
      <c r="L20" s="1"/>
      <c r="M20" s="1"/>
    </row>
    <row r="21" spans="8:13">
      <c r="H21" s="1"/>
      <c r="I21" s="1"/>
      <c r="J21" s="1"/>
      <c r="K21" s="1"/>
      <c r="L21" s="1"/>
      <c r="M21" s="1"/>
    </row>
    <row r="22" spans="8:13">
      <c r="H22" s="1"/>
      <c r="I22" s="1"/>
      <c r="J22" s="1"/>
      <c r="K22" s="1"/>
      <c r="L22" s="1"/>
      <c r="M22" s="1"/>
    </row>
    <row r="23" spans="8:13">
      <c r="H23" s="1"/>
      <c r="I23" s="1"/>
      <c r="J23" s="1"/>
      <c r="K23" s="1"/>
      <c r="L23" s="1"/>
      <c r="M23" s="1"/>
    </row>
    <row r="24" spans="8:13">
      <c r="H24" s="1"/>
      <c r="I24" s="1"/>
      <c r="J24" s="1"/>
      <c r="K24" s="1"/>
      <c r="L24" s="1"/>
      <c r="M24" s="1"/>
    </row>
    <row r="25" spans="8:13">
      <c r="H25" s="1"/>
      <c r="I25" s="1"/>
      <c r="J25" s="1"/>
      <c r="K25" s="1"/>
      <c r="L25" s="1"/>
      <c r="M25" s="1"/>
    </row>
    <row r="26" spans="8:13">
      <c r="J26" s="1"/>
      <c r="K26" s="1"/>
      <c r="L26" s="1"/>
      <c r="M26" s="1"/>
    </row>
    <row r="27" spans="8:13">
      <c r="J27" s="1"/>
      <c r="K27" s="1"/>
      <c r="L27" s="1"/>
      <c r="M27" s="1"/>
    </row>
    <row r="28" spans="8:13">
      <c r="J28" s="1"/>
      <c r="K28" s="1"/>
      <c r="L28" s="1"/>
      <c r="M28" s="1"/>
    </row>
    <row r="29" spans="8:13">
      <c r="J29" s="1"/>
      <c r="K29" s="1"/>
      <c r="L29" s="1"/>
      <c r="M29" s="1"/>
    </row>
    <row r="30" spans="8:13">
      <c r="J30" s="1"/>
      <c r="K30" s="1"/>
      <c r="L30" s="1"/>
      <c r="M30" s="1"/>
    </row>
    <row r="31" spans="8:13">
      <c r="J31" s="1"/>
      <c r="K31" s="1"/>
      <c r="L31" s="1"/>
      <c r="M31" s="1"/>
    </row>
    <row r="32" spans="8:13">
      <c r="J32" s="1"/>
      <c r="K32" s="1"/>
      <c r="L32" s="1"/>
      <c r="M32" s="1"/>
    </row>
    <row r="33" spans="10:13">
      <c r="J33" s="1"/>
      <c r="K33" s="1"/>
      <c r="L33" s="1"/>
      <c r="M33" s="1"/>
    </row>
    <row r="34" spans="10:13">
      <c r="J34" s="1"/>
      <c r="K34" s="1"/>
      <c r="L34" s="1"/>
      <c r="M34" s="1"/>
    </row>
    <row r="35" spans="10:13">
      <c r="J35" s="1"/>
      <c r="K35" s="1"/>
      <c r="L35" s="1"/>
      <c r="M35" s="1"/>
    </row>
    <row r="36" spans="10:13">
      <c r="J36" s="1"/>
      <c r="K36" s="1"/>
      <c r="L36" s="1"/>
      <c r="M36" s="1"/>
    </row>
    <row r="37" spans="10:13">
      <c r="J37" s="1"/>
      <c r="K37" s="1"/>
      <c r="L37" s="1"/>
      <c r="M37" s="1"/>
    </row>
    <row r="38" spans="10:13">
      <c r="J38" s="1"/>
      <c r="K38" s="1"/>
      <c r="L38" s="1"/>
      <c r="M38" s="1"/>
    </row>
    <row r="39" spans="10:13">
      <c r="J39" s="1"/>
      <c r="K39" s="1"/>
      <c r="L39" s="1"/>
      <c r="M39" s="1"/>
    </row>
    <row r="40" spans="10:13">
      <c r="J40" s="1"/>
      <c r="K40" s="1"/>
      <c r="L40" s="1"/>
      <c r="M40" s="1"/>
    </row>
    <row r="41" spans="10:13">
      <c r="J41" s="1"/>
      <c r="K41" s="1"/>
      <c r="L41" s="1"/>
      <c r="M41" s="1"/>
    </row>
    <row r="42" spans="10:13">
      <c r="J42" s="1"/>
      <c r="K42" s="1"/>
      <c r="L42" s="1"/>
      <c r="M42" s="1"/>
    </row>
    <row r="43" spans="10:13">
      <c r="J43" s="1"/>
      <c r="K43" s="1"/>
      <c r="L43" s="1"/>
      <c r="M43" s="1"/>
    </row>
    <row r="44" spans="10:13">
      <c r="J44" s="1"/>
      <c r="K44" s="1"/>
      <c r="L44" s="1"/>
      <c r="M44" s="1"/>
    </row>
    <row r="45" spans="10:13">
      <c r="J45" s="1"/>
      <c r="K45" s="1"/>
      <c r="L45" s="1"/>
      <c r="M45" s="1"/>
    </row>
    <row r="46" spans="10:13">
      <c r="J46" s="1"/>
      <c r="K46" s="1"/>
      <c r="L46" s="1"/>
      <c r="M46" s="1"/>
    </row>
    <row r="47" spans="10:13">
      <c r="J47" s="1"/>
      <c r="K47" s="1"/>
      <c r="L47" s="1"/>
      <c r="M47" s="1"/>
    </row>
    <row r="48" spans="10:13">
      <c r="J48" s="1"/>
      <c r="K48" s="1"/>
      <c r="L48" s="1"/>
      <c r="M48" s="1"/>
    </row>
    <row r="49" spans="10:13">
      <c r="J49" s="1"/>
      <c r="K49" s="1"/>
      <c r="L49" s="1"/>
      <c r="M49" s="1"/>
    </row>
    <row r="50" spans="10:13">
      <c r="J50" s="1"/>
      <c r="K50" s="1"/>
      <c r="L50" s="1"/>
      <c r="M50" s="1"/>
    </row>
    <row r="51" spans="10:13">
      <c r="J51" s="1"/>
      <c r="K51" s="1"/>
      <c r="L51" s="1"/>
      <c r="M51" s="1"/>
    </row>
    <row r="52" spans="10:13">
      <c r="J52" s="1"/>
      <c r="K52" s="1"/>
      <c r="L52" s="1"/>
      <c r="M52" s="1"/>
    </row>
    <row r="53" spans="10:13">
      <c r="J53" s="1"/>
      <c r="K53" s="1"/>
      <c r="L53" s="1"/>
      <c r="M53" s="1"/>
    </row>
    <row r="54" spans="10:13">
      <c r="J54" s="1"/>
      <c r="K54" s="1"/>
      <c r="L54" s="1"/>
      <c r="M54" s="1"/>
    </row>
    <row r="55" spans="10:13">
      <c r="J55" s="1"/>
      <c r="K55" s="1"/>
      <c r="L55" s="1"/>
      <c r="M55" s="1"/>
    </row>
    <row r="56" spans="10:13">
      <c r="J56" s="1"/>
      <c r="K56" s="1"/>
      <c r="L56" s="1"/>
      <c r="M56" s="1"/>
    </row>
    <row r="57" spans="10:13">
      <c r="J57" s="1"/>
      <c r="K57" s="1"/>
      <c r="L57" s="1"/>
      <c r="M57" s="1"/>
    </row>
    <row r="58" spans="10:13">
      <c r="J58" s="1"/>
      <c r="K58" s="1"/>
      <c r="L58" s="1"/>
      <c r="M58" s="1"/>
    </row>
    <row r="59" spans="10:13">
      <c r="J59" s="1"/>
      <c r="K59" s="1"/>
      <c r="L59" s="1"/>
      <c r="M5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18FC-6606-43B0-B002-560541AE3F39}">
  <dimension ref="A1:E19"/>
  <sheetViews>
    <sheetView tabSelected="1" topLeftCell="D1" workbookViewId="0">
      <selection activeCell="E9" sqref="E9"/>
    </sheetView>
  </sheetViews>
  <sheetFormatPr defaultRowHeight="15"/>
  <cols>
    <col min="1" max="1" width="14.5703125" bestFit="1" customWidth="1"/>
    <col min="2" max="2" width="10.140625" bestFit="1" customWidth="1"/>
    <col min="3" max="3" width="12.28515625" bestFit="1" customWidth="1"/>
    <col min="4" max="4" width="111.28515625" bestFit="1" customWidth="1"/>
    <col min="5" max="5" width="114" bestFit="1" customWidth="1"/>
  </cols>
  <sheetData>
    <row r="1" spans="1: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>
      <c r="A2" t="s">
        <v>31</v>
      </c>
      <c r="B2" s="2" t="s">
        <v>114</v>
      </c>
      <c r="C2" s="2" t="s">
        <v>115</v>
      </c>
      <c r="D2" s="2" t="s">
        <v>116</v>
      </c>
      <c r="E2" t="s">
        <v>117</v>
      </c>
    </row>
    <row r="3" spans="1:5">
      <c r="A3" t="s">
        <v>32</v>
      </c>
      <c r="B3" s="2" t="s">
        <v>114</v>
      </c>
      <c r="C3" s="2" t="s">
        <v>115</v>
      </c>
      <c r="D3" s="2" t="s">
        <v>118</v>
      </c>
      <c r="E3" t="s">
        <v>119</v>
      </c>
    </row>
    <row r="4" spans="1:5">
      <c r="A4" t="s">
        <v>33</v>
      </c>
      <c r="B4" s="2" t="s">
        <v>114</v>
      </c>
      <c r="C4" s="2" t="s">
        <v>115</v>
      </c>
      <c r="D4" s="2" t="s">
        <v>120</v>
      </c>
      <c r="E4" t="s">
        <v>121</v>
      </c>
    </row>
    <row r="5" spans="1:5">
      <c r="A5" t="s">
        <v>34</v>
      </c>
      <c r="B5" s="2" t="s">
        <v>122</v>
      </c>
      <c r="C5" s="2" t="s">
        <v>114</v>
      </c>
      <c r="D5" s="2" t="s">
        <v>123</v>
      </c>
      <c r="E5" t="s">
        <v>124</v>
      </c>
    </row>
    <row r="6" spans="1:5">
      <c r="A6" t="s">
        <v>35</v>
      </c>
      <c r="B6" s="2" t="s">
        <v>114</v>
      </c>
      <c r="C6" s="2" t="s">
        <v>115</v>
      </c>
      <c r="D6" s="2" t="s">
        <v>125</v>
      </c>
      <c r="E6" t="s">
        <v>126</v>
      </c>
    </row>
    <row r="7" spans="1:5">
      <c r="A7" s="3" t="s">
        <v>36</v>
      </c>
      <c r="B7" s="2" t="s">
        <v>114</v>
      </c>
      <c r="C7" s="2" t="s">
        <v>115</v>
      </c>
      <c r="D7" s="2" t="s">
        <v>127</v>
      </c>
      <c r="E7" t="s">
        <v>128</v>
      </c>
    </row>
    <row r="8" spans="1:5">
      <c r="A8" t="s">
        <v>37</v>
      </c>
      <c r="B8" s="2" t="s">
        <v>114</v>
      </c>
      <c r="C8" s="2" t="s">
        <v>114</v>
      </c>
      <c r="D8" t="s">
        <v>129</v>
      </c>
      <c r="E8" t="s">
        <v>130</v>
      </c>
    </row>
    <row r="9" spans="1:5">
      <c r="B9" s="2"/>
      <c r="C9" s="2"/>
    </row>
    <row r="10" spans="1:5">
      <c r="B10" s="2"/>
      <c r="C10" s="2"/>
    </row>
    <row r="11" spans="1:5">
      <c r="B11" s="2"/>
      <c r="C11" s="2"/>
    </row>
    <row r="12" spans="1:5">
      <c r="B12" s="2"/>
      <c r="C12" s="2"/>
    </row>
    <row r="13" spans="1:5">
      <c r="B13" s="2"/>
      <c r="C13" s="2"/>
    </row>
    <row r="14" spans="1:5">
      <c r="B14" s="2"/>
      <c r="C14" s="2"/>
    </row>
    <row r="15" spans="1:5">
      <c r="B15" s="2"/>
      <c r="C15" s="2"/>
    </row>
    <row r="16" spans="1:5">
      <c r="B16" s="2"/>
      <c r="C16" s="2"/>
    </row>
    <row r="17" spans="2:3">
      <c r="B17" s="2"/>
      <c r="C17" s="2"/>
    </row>
    <row r="18" spans="2:3">
      <c r="B18" s="2"/>
      <c r="C18" s="2"/>
    </row>
    <row r="19" spans="2:3">
      <c r="B19" s="2"/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2026-09-12T18:05:49Z</dcterms:created>
  <dcterms:modified xsi:type="dcterms:W3CDTF">2026-09-22T14:43:36Z</dcterms:modified>
  <cp:category/>
  <cp:contentStatus/>
</cp:coreProperties>
</file>